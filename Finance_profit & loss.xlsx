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UP SKILLS HUB\Excel\"/>
    </mc:Choice>
  </mc:AlternateContent>
  <xr:revisionPtr revIDLastSave="0" documentId="13_ncr:1_{47F937B2-2B80-4EBD-AEEC-7C24400BEF70}" xr6:coauthVersionLast="36" xr6:coauthVersionMax="36" xr10:uidLastSave="{00000000-0000-0000-0000-000000000000}"/>
  <bookViews>
    <workbookView xWindow="0" yWindow="0" windowWidth="28800" windowHeight="12180" activeTab="1" xr2:uid="{00000000-000D-0000-FFFF-FFFF00000000}"/>
  </bookViews>
  <sheets>
    <sheet name="Sheet4" sheetId="4" r:id="rId1"/>
    <sheet name="Sheet1" sheetId="1" r:id="rId2"/>
    <sheet name="Sheet2" sheetId="2" r:id="rId3"/>
    <sheet name="Sheet3" sheetId="3" r:id="rId4"/>
  </sheets>
  <calcPr calcId="191029"/>
  <pivotCaches>
    <pivotCache cacheId="9" r:id="rId5"/>
  </pivotCaches>
</workbook>
</file>

<file path=xl/calcChain.xml><?xml version="1.0" encoding="utf-8"?>
<calcChain xmlns="http://schemas.openxmlformats.org/spreadsheetml/2006/main">
  <c r="B16" i="3" l="1"/>
  <c r="B15" i="3"/>
  <c r="B14" i="3"/>
  <c r="B13" i="3"/>
  <c r="D12" i="3"/>
  <c r="F11" i="3"/>
  <c r="B10" i="3"/>
  <c r="B9" i="3"/>
  <c r="B8" i="3"/>
  <c r="F7" i="3"/>
  <c r="F6" i="3"/>
  <c r="F5" i="3"/>
  <c r="D4" i="3"/>
  <c r="D3" i="3"/>
  <c r="D2" i="3"/>
  <c r="D1" i="3"/>
  <c r="H2" i="1"/>
  <c r="G2" i="1"/>
  <c r="F2" i="1"/>
  <c r="H5" i="1" l="1"/>
  <c r="G3" i="1"/>
  <c r="G4" i="1"/>
  <c r="H3" i="1"/>
  <c r="G5" i="1"/>
  <c r="H4" i="1"/>
  <c r="G6" i="1"/>
  <c r="H6" i="1"/>
  <c r="G8" i="1"/>
  <c r="H8" i="1"/>
  <c r="F10" i="1"/>
  <c r="H10" i="1"/>
  <c r="F4" i="1"/>
  <c r="F6" i="1"/>
  <c r="F8" i="1"/>
  <c r="G10" i="1"/>
  <c r="F11" i="1"/>
  <c r="G11" i="1"/>
  <c r="H11" i="1"/>
  <c r="G7" i="1"/>
  <c r="H7" i="1"/>
  <c r="F9" i="1"/>
  <c r="H9" i="1"/>
  <c r="F3" i="1"/>
  <c r="F5" i="1"/>
  <c r="F7" i="1"/>
  <c r="G9" i="1"/>
</calcChain>
</file>

<file path=xl/sharedStrings.xml><?xml version="1.0" encoding="utf-8"?>
<sst xmlns="http://schemas.openxmlformats.org/spreadsheetml/2006/main" count="60" uniqueCount="45">
  <si>
    <t>Date</t>
  </si>
  <si>
    <t>Category</t>
  </si>
  <si>
    <t xml:space="preserve">Type </t>
  </si>
  <si>
    <t>Amont</t>
  </si>
  <si>
    <t>Total  Income</t>
  </si>
  <si>
    <t>Total Expense</t>
  </si>
  <si>
    <t>Net Profit or Loss</t>
  </si>
  <si>
    <t>Sales</t>
  </si>
  <si>
    <t>Income</t>
  </si>
  <si>
    <t>Services</t>
  </si>
  <si>
    <t>Rent</t>
  </si>
  <si>
    <t>Expense</t>
  </si>
  <si>
    <t>Transport</t>
  </si>
  <si>
    <t>Utilities</t>
  </si>
  <si>
    <t>15/01/205</t>
  </si>
  <si>
    <t>18/1/2025</t>
  </si>
  <si>
    <t>Marketing</t>
  </si>
  <si>
    <t>20/01/2025</t>
  </si>
  <si>
    <t>25/01/2025</t>
  </si>
  <si>
    <t>Add</t>
  </si>
  <si>
    <t>Sub</t>
  </si>
  <si>
    <t>Mult</t>
  </si>
  <si>
    <t>Div</t>
  </si>
  <si>
    <t>Isimbi</t>
  </si>
  <si>
    <t>alice</t>
  </si>
  <si>
    <t>Sum/ total</t>
  </si>
  <si>
    <t xml:space="preserve">Min </t>
  </si>
  <si>
    <t>Max</t>
  </si>
  <si>
    <t>Count</t>
  </si>
  <si>
    <t>Counta</t>
  </si>
  <si>
    <t>Average</t>
  </si>
  <si>
    <t>Median</t>
  </si>
  <si>
    <t>Concatenate</t>
  </si>
  <si>
    <t xml:space="preserve">Isimbi </t>
  </si>
  <si>
    <t>Sylvia</t>
  </si>
  <si>
    <t>If</t>
  </si>
  <si>
    <t>For if function</t>
  </si>
  <si>
    <t>CountIf</t>
  </si>
  <si>
    <t>expense</t>
  </si>
  <si>
    <t>SumIf</t>
  </si>
  <si>
    <t>income</t>
  </si>
  <si>
    <t>Current Time</t>
  </si>
  <si>
    <t>Sum of Total  Income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</si>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</sst>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6" fontId="0" fillId="0" borderId="0" xfId="0" applyNumberFormat="1"/>
    <xf numFmtId="22" fontId="0" fillId="0" borderId="0" xfId="0" applyNumberFormat="1"/>
    <xf numFmtId="14" fontId="1" fillId="0" borderId="0" xfId="0" applyNumberFormat="1" applyFont="1"/>
    <xf numFmtId="0" fontId="1" fillId="0" borderId="0" xfId="0" applyFont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85.524122453702" createdVersion="6" refreshedVersion="6" minRefreshableVersion="3" recordCount="10" xr:uid="{5C299D7F-B1BC-4217-B478-3D0E7102D5D9}">
  <cacheSource type="worksheet">
    <worksheetSource ref="F1:H11" sheet="Sheet1"/>
  </cacheSource>
  <cacheFields count="3">
    <cacheField name="Total  Income" numFmtId="0">
      <sharedItems containsSemiMixedTypes="0" containsString="0" containsNumber="1" containsInteger="1" minValue="0" maxValue="2200000"/>
    </cacheField>
    <cacheField name="Total Expense" numFmtId="0">
      <sharedItems containsSemiMixedTypes="0" containsString="0" containsNumber="1" containsInteger="1" minValue="0" maxValue="550000" count="2">
        <n v="550000"/>
        <n v="0"/>
      </sharedItems>
    </cacheField>
    <cacheField name="Net Profit or Loss" numFmtId="0">
      <sharedItems containsSemiMixedTypes="0" containsString="0" containsNumber="1" containsInteger="1" minValue="0" maxValue="16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200000"/>
    <x v="0"/>
    <n v="1650000"/>
  </r>
  <r>
    <n v="0"/>
    <x v="1"/>
    <n v="0"/>
  </r>
  <r>
    <n v="0"/>
    <x v="1"/>
    <n v="0"/>
  </r>
  <r>
    <n v="0"/>
    <x v="1"/>
    <n v="0"/>
  </r>
  <r>
    <n v="0"/>
    <x v="1"/>
    <n v="0"/>
  </r>
  <r>
    <n v="0"/>
    <x v="1"/>
    <n v="0"/>
  </r>
  <r>
    <n v="0"/>
    <x v="1"/>
    <n v="0"/>
  </r>
  <r>
    <n v="0"/>
    <x v="1"/>
    <n v="0"/>
  </r>
  <r>
    <n v="0"/>
    <x v="1"/>
    <n v="0"/>
  </r>
  <r>
    <n v="0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1BB257-0E99-4244-8685-25FFC3D4FA8E}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4" firstHeaderRow="1" firstDataRow="1" firstDataCol="1"/>
  <pivotFields count="3">
    <pivotField dataField="1" showAll="0"/>
    <pivotField axis="axisRow" showAll="0">
      <items count="3">
        <item x="1"/>
        <item x="0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Total  Income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1D5A1-50B0-4013-87F1-BD8276E87D6B}">
  <dimension ref="A1:B4"/>
  <sheetViews>
    <sheetView workbookViewId="0"/>
  </sheetViews>
  <sheetFormatPr defaultRowHeight="15"/>
  <cols>
    <col min="1" max="1" width="13.140625" bestFit="1" customWidth="1"/>
    <col min="2" max="2" width="19.7109375" bestFit="1" customWidth="1"/>
  </cols>
  <sheetData>
    <row r="1" spans="1:2">
      <c r="A1" s="7" t="s">
        <v>43</v>
      </c>
      <c r="B1" t="s">
        <v>42</v>
      </c>
    </row>
    <row r="2" spans="1:2">
      <c r="A2" s="8">
        <v>0</v>
      </c>
      <c r="B2" s="6">
        <v>0</v>
      </c>
    </row>
    <row r="3" spans="1:2">
      <c r="A3" s="8">
        <v>550000</v>
      </c>
      <c r="B3" s="6">
        <v>2200000</v>
      </c>
    </row>
    <row r="4" spans="1:2">
      <c r="A4" s="8" t="s">
        <v>44</v>
      </c>
      <c r="B4" s="6">
        <v>2200000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ColWidth="9" defaultRowHeight="15"/>
  <cols>
    <col min="1" max="1" width="18" customWidth="1"/>
    <col min="2" max="2" width="18.28515625" customWidth="1"/>
    <col min="3" max="3" width="18.7109375" customWidth="1"/>
    <col min="4" max="4" width="17.5703125" customWidth="1"/>
    <col min="6" max="6" width="14.5703125" customWidth="1"/>
    <col min="7" max="7" width="15.85546875" customWidth="1"/>
    <col min="8" max="8" width="15.5703125" customWidth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F1" s="4" t="s">
        <v>4</v>
      </c>
      <c r="G1" s="4" t="s">
        <v>5</v>
      </c>
      <c r="H1" s="4" t="s">
        <v>6</v>
      </c>
    </row>
    <row r="2" spans="1:8">
      <c r="A2" s="5">
        <v>45658</v>
      </c>
      <c r="B2" t="s">
        <v>7</v>
      </c>
      <c r="C2" t="s">
        <v>8</v>
      </c>
      <c r="D2">
        <v>500000</v>
      </c>
      <c r="F2">
        <f>SUMIF(C2:C11,"Income",D2:D11)</f>
        <v>2200000</v>
      </c>
      <c r="G2">
        <f>SUMIF(C2:C11,"Expense",D2:D11)</f>
        <v>550000</v>
      </c>
      <c r="H2">
        <f>F2-G2</f>
        <v>1650000</v>
      </c>
    </row>
    <row r="3" spans="1:8">
      <c r="A3" s="5">
        <v>45717</v>
      </c>
      <c r="B3" t="s">
        <v>9</v>
      </c>
      <c r="C3" t="s">
        <v>8</v>
      </c>
      <c r="D3">
        <v>300000</v>
      </c>
      <c r="F3">
        <f ca="1">COUNTBLANK(A1:H11)</f>
        <v>0</v>
      </c>
      <c r="G3">
        <f t="shared" ref="G3:H3" ca="1" si="0">COUNTBLANK(B1:I11)</f>
        <v>0</v>
      </c>
      <c r="H3">
        <f t="shared" ca="1" si="0"/>
        <v>0</v>
      </c>
    </row>
    <row r="4" spans="1:8">
      <c r="A4" s="5">
        <v>45778</v>
      </c>
      <c r="B4" t="s">
        <v>10</v>
      </c>
      <c r="C4" t="s">
        <v>11</v>
      </c>
      <c r="D4">
        <v>150000</v>
      </c>
      <c r="F4">
        <f t="shared" ref="F4:F11" ca="1" si="1">COUNTBLANK(A2:H12)</f>
        <v>0</v>
      </c>
      <c r="G4">
        <f t="shared" ref="G4:G11" ca="1" si="2">COUNTBLANK(B2:I12)</f>
        <v>0</v>
      </c>
      <c r="H4">
        <f t="shared" ref="H4:H11" ca="1" si="3">COUNTBLANK(C2:J12)</f>
        <v>0</v>
      </c>
    </row>
    <row r="5" spans="1:8">
      <c r="A5" s="5">
        <v>45839</v>
      </c>
      <c r="B5" t="s">
        <v>12</v>
      </c>
      <c r="C5" t="s">
        <v>11</v>
      </c>
      <c r="D5">
        <v>50000</v>
      </c>
      <c r="F5">
        <f t="shared" ca="1" si="1"/>
        <v>0</v>
      </c>
      <c r="G5">
        <f t="shared" ca="1" si="2"/>
        <v>0</v>
      </c>
      <c r="H5">
        <f t="shared" ca="1" si="3"/>
        <v>0</v>
      </c>
    </row>
    <row r="6" spans="1:8">
      <c r="A6" s="5">
        <v>45931</v>
      </c>
      <c r="B6" t="s">
        <v>7</v>
      </c>
      <c r="C6" t="s">
        <v>8</v>
      </c>
      <c r="D6">
        <v>450000</v>
      </c>
      <c r="F6">
        <f t="shared" ca="1" si="1"/>
        <v>0</v>
      </c>
      <c r="G6">
        <f t="shared" ca="1" si="2"/>
        <v>0</v>
      </c>
      <c r="H6">
        <f t="shared" ca="1" si="3"/>
        <v>0</v>
      </c>
    </row>
    <row r="7" spans="1:8">
      <c r="A7" s="5">
        <v>45992</v>
      </c>
      <c r="B7" t="s">
        <v>13</v>
      </c>
      <c r="C7" t="s">
        <v>11</v>
      </c>
      <c r="D7">
        <v>80000</v>
      </c>
      <c r="F7">
        <f t="shared" ca="1" si="1"/>
        <v>0</v>
      </c>
      <c r="G7">
        <f t="shared" ca="1" si="2"/>
        <v>0</v>
      </c>
      <c r="H7">
        <f t="shared" ca="1" si="3"/>
        <v>0</v>
      </c>
    </row>
    <row r="8" spans="1:8">
      <c r="A8" s="5" t="s">
        <v>14</v>
      </c>
      <c r="B8" t="s">
        <v>7</v>
      </c>
      <c r="C8" t="s">
        <v>8</v>
      </c>
      <c r="D8">
        <v>600000</v>
      </c>
      <c r="F8">
        <f t="shared" ca="1" si="1"/>
        <v>0</v>
      </c>
      <c r="G8">
        <f t="shared" ca="1" si="2"/>
        <v>0</v>
      </c>
      <c r="H8">
        <f t="shared" ca="1" si="3"/>
        <v>0</v>
      </c>
    </row>
    <row r="9" spans="1:8">
      <c r="A9" s="5" t="s">
        <v>15</v>
      </c>
      <c r="B9" t="s">
        <v>16</v>
      </c>
      <c r="C9" t="s">
        <v>11</v>
      </c>
      <c r="D9">
        <v>120000</v>
      </c>
      <c r="F9">
        <f t="shared" ca="1" si="1"/>
        <v>0</v>
      </c>
      <c r="G9">
        <f t="shared" ca="1" si="2"/>
        <v>0</v>
      </c>
      <c r="H9">
        <f t="shared" ca="1" si="3"/>
        <v>0</v>
      </c>
    </row>
    <row r="10" spans="1:8">
      <c r="A10" s="5" t="s">
        <v>17</v>
      </c>
      <c r="B10" t="s">
        <v>9</v>
      </c>
      <c r="C10" t="s">
        <v>8</v>
      </c>
      <c r="D10">
        <v>350000</v>
      </c>
      <c r="F10">
        <f t="shared" ca="1" si="1"/>
        <v>0</v>
      </c>
      <c r="G10">
        <f t="shared" ca="1" si="2"/>
        <v>0</v>
      </c>
      <c r="H10">
        <f t="shared" ca="1" si="3"/>
        <v>0</v>
      </c>
    </row>
    <row r="11" spans="1:8">
      <c r="A11" s="5" t="s">
        <v>18</v>
      </c>
      <c r="B11" t="s">
        <v>10</v>
      </c>
      <c r="C11" t="s">
        <v>11</v>
      </c>
      <c r="D11">
        <v>150000</v>
      </c>
      <c r="F11">
        <f t="shared" ca="1" si="1"/>
        <v>0</v>
      </c>
      <c r="G11">
        <f t="shared" ca="1" si="2"/>
        <v>0</v>
      </c>
      <c r="H11">
        <f t="shared" ca="1" si="3"/>
        <v>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workbookViewId="0">
      <selection activeCell="F18" sqref="F18"/>
    </sheetView>
  </sheetViews>
  <sheetFormatPr defaultColWidth="9" defaultRowHeight="15"/>
  <cols>
    <col min="1" max="1" width="21.140625" customWidth="1"/>
    <col min="2" max="2" width="14.7109375" customWidth="1"/>
    <col min="4" max="4" width="30.85546875" customWidth="1"/>
    <col min="6" max="6" width="20.7109375" customWidth="1"/>
  </cols>
  <sheetData>
    <row r="1" spans="1:6">
      <c r="A1" t="s">
        <v>19</v>
      </c>
      <c r="B1">
        <v>12</v>
      </c>
      <c r="C1">
        <v>12</v>
      </c>
      <c r="D1">
        <f>B1+C1</f>
        <v>24</v>
      </c>
    </row>
    <row r="2" spans="1:6">
      <c r="A2" t="s">
        <v>20</v>
      </c>
      <c r="B2">
        <v>29</v>
      </c>
      <c r="C2">
        <v>20</v>
      </c>
      <c r="D2">
        <f>B2-C2</f>
        <v>9</v>
      </c>
    </row>
    <row r="3" spans="1:6">
      <c r="A3" t="s">
        <v>21</v>
      </c>
      <c r="B3">
        <v>12</v>
      </c>
      <c r="C3">
        <v>6</v>
      </c>
      <c r="D3">
        <f>B3*C3</f>
        <v>72</v>
      </c>
    </row>
    <row r="4" spans="1:6">
      <c r="A4" t="s">
        <v>22</v>
      </c>
      <c r="B4">
        <v>12</v>
      </c>
      <c r="C4">
        <v>3</v>
      </c>
      <c r="D4">
        <f>B4/C4</f>
        <v>4</v>
      </c>
      <c r="E4" t="s">
        <v>23</v>
      </c>
      <c r="F4" t="s">
        <v>24</v>
      </c>
    </row>
    <row r="5" spans="1:6">
      <c r="A5" t="s">
        <v>25</v>
      </c>
      <c r="B5">
        <v>12</v>
      </c>
      <c r="C5">
        <v>23</v>
      </c>
      <c r="D5">
        <v>23</v>
      </c>
      <c r="E5">
        <v>29</v>
      </c>
      <c r="F5">
        <f>SUM(B5:E5)</f>
        <v>87</v>
      </c>
    </row>
    <row r="6" spans="1:6">
      <c r="A6" t="s">
        <v>26</v>
      </c>
      <c r="B6">
        <v>20</v>
      </c>
      <c r="C6">
        <v>3</v>
      </c>
      <c r="D6">
        <v>56</v>
      </c>
      <c r="E6">
        <v>4</v>
      </c>
      <c r="F6">
        <f>MIN(B6:E6)</f>
        <v>3</v>
      </c>
    </row>
    <row r="7" spans="1:6">
      <c r="A7" t="s">
        <v>27</v>
      </c>
      <c r="E7">
        <v>12</v>
      </c>
      <c r="F7">
        <f>MAX(B6:E6)</f>
        <v>56</v>
      </c>
    </row>
    <row r="8" spans="1:6">
      <c r="A8" t="s">
        <v>28</v>
      </c>
      <c r="B8">
        <f>COUNT(B1:F7)</f>
        <v>24</v>
      </c>
    </row>
    <row r="9" spans="1:6">
      <c r="A9" t="s">
        <v>29</v>
      </c>
      <c r="B9">
        <f>COUNTA(B1:F7)</f>
        <v>26</v>
      </c>
    </row>
    <row r="10" spans="1:6">
      <c r="A10" t="s">
        <v>30</v>
      </c>
      <c r="B10" s="1">
        <f>AVERAGE(B1:B6)</f>
        <v>16.1666666666667</v>
      </c>
    </row>
    <row r="11" spans="1:6">
      <c r="A11" t="s">
        <v>31</v>
      </c>
      <c r="B11">
        <v>10</v>
      </c>
      <c r="C11">
        <v>20</v>
      </c>
      <c r="D11">
        <v>34</v>
      </c>
      <c r="E11">
        <v>39</v>
      </c>
      <c r="F11">
        <f>MEDIAN(B11:E11)</f>
        <v>27</v>
      </c>
    </row>
    <row r="12" spans="1:6">
      <c r="A12" t="s">
        <v>32</v>
      </c>
      <c r="B12" t="s">
        <v>33</v>
      </c>
      <c r="C12" t="s">
        <v>34</v>
      </c>
      <c r="D12" t="str">
        <f>CONCATENATE(B12,C12)</f>
        <v>Isimbi Sylvia</v>
      </c>
    </row>
    <row r="13" spans="1:6">
      <c r="A13" t="s">
        <v>35</v>
      </c>
      <c r="B13" t="str">
        <f>IF(B12="Isimbi ","yes","no")</f>
        <v>yes</v>
      </c>
      <c r="D13" t="s">
        <v>36</v>
      </c>
    </row>
    <row r="14" spans="1:6">
      <c r="A14" t="s">
        <v>37</v>
      </c>
      <c r="B14">
        <f>COUNTIF(B1:F11,12)</f>
        <v>6</v>
      </c>
      <c r="D14" t="s">
        <v>38</v>
      </c>
      <c r="E14">
        <v>2300</v>
      </c>
    </row>
    <row r="15" spans="1:6">
      <c r="A15" t="s">
        <v>39</v>
      </c>
      <c r="B15">
        <f>SUMIF(D14:D18,"income",E14:E18)</f>
        <v>5500</v>
      </c>
      <c r="D15" t="s">
        <v>40</v>
      </c>
      <c r="E15">
        <v>2300</v>
      </c>
    </row>
    <row r="16" spans="1:6">
      <c r="A16" t="s">
        <v>41</v>
      </c>
      <c r="B16" s="2">
        <f ca="1">NOW()</f>
        <v>46089.688192592592</v>
      </c>
      <c r="D16" t="s">
        <v>40</v>
      </c>
      <c r="E16">
        <v>2000</v>
      </c>
    </row>
    <row r="17" spans="4:5">
      <c r="D17" t="s">
        <v>38</v>
      </c>
      <c r="E17">
        <v>1000</v>
      </c>
    </row>
    <row r="18" spans="4:5">
      <c r="D18" t="s">
        <v>40</v>
      </c>
      <c r="E18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2026-03-02T09:21:00Z</dcterms:created>
  <dcterms:modified xsi:type="dcterms:W3CDTF">2026-03-08T14:30:59Z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D553756A216D42F0B38DE8E627B115C5_12</vt:lpwstr>
  </property>
  <property fmtid="{D5CDD505-2E9C-101B-9397-08002B2CF9AE}" pid="3" name="KSOProductBuildVer">
    <vt:lpwstr>1033-12.2.0.23196</vt:lpwstr>
  </property>
</Properties>
</file>